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EAB7A51-2CD9-4B04-B729-0F499981577C}" xr6:coauthVersionLast="47" xr6:coauthVersionMax="47" xr10:uidLastSave="{00000000-0000-0000-0000-000000000000}"/>
  <bookViews>
    <workbookView xWindow="-110" yWindow="-110" windowWidth="19420" windowHeight="10300" tabRatio="897" activeTab="7" xr2:uid="{4279CBD3-9645-4B4B-AD93-1CDE26B15541}"/>
  </bookViews>
  <sheets>
    <sheet name="Máy móc, thiết bị" sheetId="4" r:id="rId1"/>
    <sheet name="Chi Phí mặt bằng" sheetId="13" r:id="rId2"/>
    <sheet name="Chi phí vật liệu" sheetId="5" r:id="rId3"/>
    <sheet name="Nhân sự, bao bì" sheetId="1" r:id="rId4"/>
    <sheet name="Chi phí quảng cáo" sheetId="14" r:id="rId5"/>
    <sheet name="Giá thành" sheetId="8" r:id="rId6"/>
    <sheet name="Chi phí vốn" sheetId="11" r:id="rId7"/>
    <sheet name="Hoà vốn" sheetId="15" r:id="rId8"/>
    <sheet name="Sheet1" sheetId="16" r:id="rId9"/>
    <sheet name="Sheet2" sheetId="17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5" l="1"/>
  <c r="B3" i="15"/>
  <c r="C7" i="17"/>
  <c r="D6" i="17"/>
  <c r="E6" i="17" s="1"/>
  <c r="F6" i="17" s="1"/>
  <c r="G6" i="17" s="1"/>
  <c r="D5" i="17"/>
  <c r="D7" i="17" s="1"/>
  <c r="E14" i="1"/>
  <c r="E15" i="1"/>
  <c r="E16" i="1"/>
  <c r="E17" i="1"/>
  <c r="E18" i="1"/>
  <c r="E19" i="1"/>
  <c r="C6" i="11"/>
  <c r="E5" i="17" l="1"/>
  <c r="C5" i="8"/>
  <c r="C10" i="8"/>
  <c r="E6" i="1"/>
  <c r="F5" i="17" l="1"/>
  <c r="E7" i="17"/>
  <c r="E7" i="1"/>
  <c r="E8" i="1"/>
  <c r="D9" i="1"/>
  <c r="B4" i="15"/>
  <c r="B6" i="15" s="1"/>
  <c r="G5" i="17" l="1"/>
  <c r="G7" i="17" s="1"/>
  <c r="F7" i="17"/>
  <c r="C5" i="14"/>
  <c r="C8" i="8" s="1"/>
  <c r="E3" i="1" l="1"/>
  <c r="E4" i="1"/>
  <c r="E5" i="1"/>
  <c r="E3" i="4"/>
  <c r="E4" i="4"/>
  <c r="E5" i="4"/>
  <c r="E6" i="4"/>
  <c r="E13" i="4" s="1"/>
  <c r="C6" i="8" s="1"/>
  <c r="E7" i="4"/>
  <c r="E8" i="4"/>
  <c r="E10" i="4"/>
  <c r="E11" i="4"/>
  <c r="E9" i="4"/>
  <c r="F9" i="5"/>
  <c r="F8" i="5"/>
  <c r="F7" i="5"/>
  <c r="F6" i="5"/>
  <c r="F5" i="5"/>
  <c r="F4" i="5"/>
  <c r="F3" i="5"/>
  <c r="E13" i="1"/>
  <c r="E20" i="1" s="1"/>
  <c r="E5" i="13"/>
  <c r="C5" i="11" s="1"/>
  <c r="F10" i="5" l="1"/>
  <c r="C7" i="8" s="1"/>
  <c r="E9" i="1"/>
  <c r="C4" i="11" s="1"/>
  <c r="C4" i="8"/>
  <c r="C8" i="11"/>
  <c r="C7" i="11" l="1"/>
  <c r="C9" i="8"/>
  <c r="B5" i="15" l="1"/>
  <c r="C3" i="11"/>
  <c r="C10" i="11" s="1"/>
  <c r="C11" i="8" l="1"/>
  <c r="B10" i="8" l="1"/>
  <c r="C12" i="8"/>
  <c r="C14" i="8" s="1"/>
  <c r="B7" i="8"/>
  <c r="B4" i="8"/>
  <c r="B8" i="8"/>
  <c r="B6" i="8"/>
  <c r="B5" i="8"/>
  <c r="B9" i="8"/>
  <c r="C13" i="8" l="1"/>
  <c r="C15" i="8" l="1"/>
</calcChain>
</file>

<file path=xl/sharedStrings.xml><?xml version="1.0" encoding="utf-8"?>
<sst xmlns="http://schemas.openxmlformats.org/spreadsheetml/2006/main" count="175" uniqueCount="144">
  <si>
    <t xml:space="preserve">CHI PHÍ NHÂN SỰ </t>
  </si>
  <si>
    <t>STT</t>
  </si>
  <si>
    <t>VỊ TRÍ CÔNG VIỆC</t>
  </si>
  <si>
    <t>SỐ LƯỢNG</t>
  </si>
  <si>
    <t>THÀNH TIỀN</t>
  </si>
  <si>
    <t>CHI PHÍ NHÂN SỰ (THÁNG)</t>
  </si>
  <si>
    <t>BAO BÌ</t>
  </si>
  <si>
    <t>TÊN BAO BÌ</t>
  </si>
  <si>
    <t>GIÁ TIỀN</t>
  </si>
  <si>
    <t>ĐƠN VỊ TÍNH</t>
  </si>
  <si>
    <t>SL TỐI THIỂU</t>
  </si>
  <si>
    <t xml:space="preserve">Cái </t>
  </si>
  <si>
    <t>TỔNG</t>
  </si>
  <si>
    <t>Tổng</t>
  </si>
  <si>
    <t>KÊNH PHÂN PHỐI</t>
  </si>
  <si>
    <t>GIÁ TIỀN (VND)</t>
  </si>
  <si>
    <t>YÊU CẦU</t>
  </si>
  <si>
    <t>CHI PHÍ QUẢNG CÁO / THÁNG</t>
  </si>
  <si>
    <t>LƯƠNG/ THÁNG</t>
  </si>
  <si>
    <t>Tên máy</t>
  </si>
  <si>
    <t>Giá cả</t>
  </si>
  <si>
    <t>Số lượng</t>
  </si>
  <si>
    <t>Tổng tiền</t>
  </si>
  <si>
    <t>CHI PHÍ MÁY MÓC/ TRANG THIẾT BỊ</t>
  </si>
  <si>
    <t xml:space="preserve"> </t>
  </si>
  <si>
    <t>CHI PHÍ NGUYÊN VẬT LIỆU</t>
  </si>
  <si>
    <t>Nguyên liệu</t>
  </si>
  <si>
    <t>Đơn vị</t>
  </si>
  <si>
    <t>Số lượng/tháng</t>
  </si>
  <si>
    <t>Đơn giá</t>
  </si>
  <si>
    <t>Thành tiền</t>
  </si>
  <si>
    <t>kg</t>
  </si>
  <si>
    <t>lít</t>
  </si>
  <si>
    <t>Tổng chi phí 1 tháng</t>
  </si>
  <si>
    <t>Tiền thuê hàng tháng</t>
  </si>
  <si>
    <t>Tiền đặt cọc</t>
  </si>
  <si>
    <t>VNĐ</t>
  </si>
  <si>
    <t>Phương thức thanh toán</t>
  </si>
  <si>
    <t>Hàng tháng</t>
  </si>
  <si>
    <t>Chi phí</t>
  </si>
  <si>
    <t>Cấu trúc chi phí</t>
  </si>
  <si>
    <t>Thành tiền (VNĐ)/tháng</t>
  </si>
  <si>
    <t xml:space="preserve">  Chi phí 1 tháng</t>
  </si>
  <si>
    <t>Bao bì và nhãn mác</t>
  </si>
  <si>
    <t>Thuê mặt bằng</t>
  </si>
  <si>
    <t>Nguyên vật liệu</t>
  </si>
  <si>
    <t>Marketing</t>
  </si>
  <si>
    <t>Chi phí lương</t>
  </si>
  <si>
    <t>Chí phí điện, nước và chi phí khác</t>
  </si>
  <si>
    <t>Tổng chi phí vốn 1 tháng</t>
  </si>
  <si>
    <t>Giá vốn 1 phần</t>
  </si>
  <si>
    <t>Chiết khấu</t>
  </si>
  <si>
    <t>Lợi nhuận</t>
  </si>
  <si>
    <t>Giá bán ra</t>
  </si>
  <si>
    <t>Giá làm tròn</t>
  </si>
  <si>
    <t xml:space="preserve">                             Sản lượng sp/tháng</t>
  </si>
  <si>
    <t>stt</t>
  </si>
  <si>
    <t xml:space="preserve">Cấu trúc chi phí </t>
  </si>
  <si>
    <t>Thành tiền (VND)</t>
  </si>
  <si>
    <t xml:space="preserve">Nhân công </t>
  </si>
  <si>
    <t>Mặt bằng</t>
  </si>
  <si>
    <t>Máy móc thiết bị</t>
  </si>
  <si>
    <t>Bao bì</t>
  </si>
  <si>
    <t>Điện nước</t>
  </si>
  <si>
    <t>Thành viên</t>
  </si>
  <si>
    <t>Vị trí</t>
  </si>
  <si>
    <t>Vốn góp</t>
  </si>
  <si>
    <t>Trưởng dự án, quản lý thị trường, ngân sách</t>
  </si>
  <si>
    <t>Quản Lý nguồn cung cấp, tuyển dụng</t>
  </si>
  <si>
    <t>Chi phí mặt bằng</t>
  </si>
  <si>
    <t>Khấu hao máy móc thiết bị, cơ sở hạ tầng</t>
  </si>
  <si>
    <t xml:space="preserve">3 tháng </t>
  </si>
  <si>
    <t>Trái cây tươi</t>
  </si>
  <si>
    <t>Đường/mật ong</t>
  </si>
  <si>
    <t>kg/lít</t>
  </si>
  <si>
    <t>Men bia trái cây</t>
  </si>
  <si>
    <t>gam</t>
  </si>
  <si>
    <t>Nước tinh khiết</t>
  </si>
  <si>
    <t>Chốt ổn định</t>
  </si>
  <si>
    <t>Đường tạo ga</t>
  </si>
  <si>
    <t>Ga CO2</t>
  </si>
  <si>
    <t>Quản lí dự án</t>
  </si>
  <si>
    <t>Kỹ thuật viên lên men</t>
  </si>
  <si>
    <t>Tem-nhãn in</t>
  </si>
  <si>
    <t>Thùng lên men inox (100L)</t>
  </si>
  <si>
    <t>Máy ép trái cây</t>
  </si>
  <si>
    <t>Máy chiết rót và đóng nắp</t>
  </si>
  <si>
    <t>Tủ mát bảo quản</t>
  </si>
  <si>
    <t>Thiết bị đo PH nhiệt độ</t>
  </si>
  <si>
    <t>Van khí, ống dẫn, đồng hộ đo áp</t>
  </si>
  <si>
    <t>Bình C02, khí nén</t>
  </si>
  <si>
    <t>Bàn inox, kệ, thùng chứa</t>
  </si>
  <si>
    <t>Bộ lộc cặn</t>
  </si>
  <si>
    <t>Tờ rơi, banner khai trương, standee</t>
  </si>
  <si>
    <t>Tô Đình Trí</t>
  </si>
  <si>
    <t>Huỳnh Trần Gia Bảo</t>
  </si>
  <si>
    <t>Phạm Bảo Phúc</t>
  </si>
  <si>
    <t>Nguyễn Huyện Anh Khang</t>
  </si>
  <si>
    <t>Quản Lý nhân sự</t>
  </si>
  <si>
    <t>Quản lý thu mua</t>
  </si>
  <si>
    <t>Lợi nhuận trong 1 tháng</t>
  </si>
  <si>
    <t>Chi phí cố định</t>
  </si>
  <si>
    <t>Chi phí biến đổi</t>
  </si>
  <si>
    <t>Doanh thu</t>
  </si>
  <si>
    <t>Tổng lợi nhuận trong 1 tháng</t>
  </si>
  <si>
    <t>Điểm hòa vốn trong tháng thứ 1</t>
  </si>
  <si>
    <t>Thiết bị khác (Bảng hiệu, đèn LED, pano,...)</t>
  </si>
  <si>
    <t>Mặt bằng: 4X37+V52, Trị An, Vĩnh Cửu, Đồng Nai, Việt Nam</t>
  </si>
  <si>
    <t>Mạng xã hội (Facebook/Meta, Zalo, Google)</t>
  </si>
  <si>
    <t>Nhân viên bán hàng</t>
  </si>
  <si>
    <t>Nhân viên nhà máy</t>
  </si>
  <si>
    <t>Nhân viên thu ngân</t>
  </si>
  <si>
    <t>Nhân viên bảo vệ</t>
  </si>
  <si>
    <t>Lon (330ml)</t>
  </si>
  <si>
    <t>Nắp chai</t>
  </si>
  <si>
    <t>Lon 330ml</t>
  </si>
  <si>
    <r>
      <rPr>
        <b/>
        <sz val="13"/>
        <color theme="1"/>
        <rFont val="Times New Roman"/>
        <family val="1"/>
      </rPr>
      <t>Hương vị:</t>
    </r>
    <r>
      <rPr>
        <b/>
        <sz val="13"/>
        <color rgb="FFC00000"/>
        <rFont val="Times New Roman"/>
        <family val="1"/>
      </rPr>
      <t xml:space="preserve"> </t>
    </r>
    <r>
      <rPr>
        <b/>
        <sz val="13"/>
        <color rgb="FF00B050"/>
        <rFont val="Times New Roman"/>
        <family val="1"/>
      </rPr>
      <t>xoài</t>
    </r>
    <r>
      <rPr>
        <b/>
        <sz val="13"/>
        <color rgb="FFC00000"/>
        <rFont val="Times New Roman"/>
        <family val="1"/>
      </rPr>
      <t xml:space="preserve">, </t>
    </r>
    <r>
      <rPr>
        <b/>
        <sz val="13"/>
        <color rgb="FFFF0000"/>
        <rFont val="Times New Roman"/>
        <family val="1"/>
      </rPr>
      <t>dâu</t>
    </r>
    <r>
      <rPr>
        <b/>
        <sz val="13"/>
        <color rgb="FFC00000"/>
        <rFont val="Times New Roman"/>
        <family val="1"/>
      </rPr>
      <t xml:space="preserve">, </t>
    </r>
    <r>
      <rPr>
        <b/>
        <sz val="13"/>
        <color rgb="FFFFC000"/>
        <rFont val="Times New Roman"/>
        <family val="1"/>
      </rPr>
      <t xml:space="preserve">chanh dây </t>
    </r>
    <r>
      <rPr>
        <b/>
        <sz val="13"/>
        <color theme="1"/>
        <rFont val="Times New Roman"/>
        <family val="1"/>
      </rPr>
      <t>=&gt;Đồng giá</t>
    </r>
  </si>
  <si>
    <t>Chi phí vốn ban đầu</t>
  </si>
  <si>
    <t>Tổng vốn đầu tư ban đầu</t>
  </si>
  <si>
    <t>tiếp cận khoảng từ 80.000 đến 200.000 người/tháng</t>
  </si>
  <si>
    <t>tiếp cận khoảng từ 3.000 đến 5.000 người/tháng</t>
  </si>
  <si>
    <t>Xoài</t>
  </si>
  <si>
    <t>Dâu</t>
  </si>
  <si>
    <t>Chanh Dây</t>
  </si>
  <si>
    <t>Màng co bảo vệ</t>
  </si>
  <si>
    <t>Thùng giấy</t>
  </si>
  <si>
    <t>Khay nhựa</t>
  </si>
  <si>
    <t>Giá bán một sản phẩm</t>
  </si>
  <si>
    <t>Doanh Thu</t>
  </si>
  <si>
    <t>Chi Phí</t>
  </si>
  <si>
    <t>Năm 1</t>
  </si>
  <si>
    <t>Năm 2</t>
  </si>
  <si>
    <t>Năm 3</t>
  </si>
  <si>
    <t>Năm 4</t>
  </si>
  <si>
    <t>Năm 5</t>
  </si>
  <si>
    <t>Giả sử bán 1000 sản phẩm/ngày</t>
  </si>
  <si>
    <t>Tài chính dự kiến</t>
  </si>
  <si>
    <t>27.000đ/Lon 330ml</t>
  </si>
  <si>
    <t>30.000đ/Chai 330ml</t>
  </si>
  <si>
    <t>540.000đ/thùng 20 lon</t>
  </si>
  <si>
    <t>180.000đ/khay 6 chai</t>
  </si>
  <si>
    <t>Chai thuỷ tinh (450ml)</t>
  </si>
  <si>
    <t>Diện tích: 700m2</t>
  </si>
  <si>
    <t>Chai 450ml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</si>
</sst>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71" formatCode="_(* #,##0.0000000_);_(* \(#,##0.00000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 Light"/>
      <family val="1"/>
      <charset val="163"/>
      <scheme val="major"/>
    </font>
    <font>
      <b/>
      <sz val="11"/>
      <color rgb="FF3F3F3F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3F3F3F"/>
      <name val="Times New Roman"/>
      <family val="1"/>
    </font>
    <font>
      <b/>
      <sz val="13"/>
      <color rgb="FFFF0000"/>
      <name val="Times New Roman"/>
      <family val="1"/>
    </font>
    <font>
      <sz val="13"/>
      <color rgb="FF3F3F3F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Calibri Light"/>
      <family val="2"/>
      <scheme val="major"/>
    </font>
    <font>
      <b/>
      <sz val="13"/>
      <color theme="1"/>
      <name val="Times New Roman"/>
      <family val="1"/>
    </font>
    <font>
      <sz val="8"/>
      <name val="Calibri"/>
      <family val="2"/>
      <scheme val="minor"/>
    </font>
    <font>
      <b/>
      <sz val="13"/>
      <color rgb="FFC00000"/>
      <name val="Times New Roman"/>
      <family val="1"/>
    </font>
    <font>
      <b/>
      <sz val="13"/>
      <color rgb="FFFFC000"/>
      <name val="Times New Roman"/>
      <family val="1"/>
    </font>
    <font>
      <b/>
      <sz val="13"/>
      <color rgb="FF00B05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5" borderId="10" applyNumberFormat="0" applyAlignment="0" applyProtection="0"/>
    <xf numFmtId="43" fontId="9" fillId="0" borderId="0" applyFont="0" applyFill="0" applyBorder="0" applyAlignment="0" applyProtection="0"/>
  </cellStyleXfs>
  <cellXfs count="85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3" borderId="1" xfId="0" applyFont="1" applyFill="1" applyBorder="1"/>
    <xf numFmtId="0" fontId="0" fillId="3" borderId="3" xfId="0" applyFill="1" applyBorder="1" applyAlignment="1">
      <alignment horizontal="center"/>
    </xf>
    <xf numFmtId="0" fontId="1" fillId="3" borderId="8" xfId="0" applyFont="1" applyFill="1" applyBorder="1"/>
    <xf numFmtId="0" fontId="1" fillId="0" borderId="6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0" xfId="0" applyFont="1"/>
    <xf numFmtId="0" fontId="1" fillId="0" borderId="6" xfId="0" applyFont="1" applyBorder="1" applyAlignment="1">
      <alignment horizontal="right"/>
    </xf>
    <xf numFmtId="3" fontId="1" fillId="0" borderId="6" xfId="0" applyNumberFormat="1" applyFont="1" applyBorder="1"/>
    <xf numFmtId="0" fontId="5" fillId="0" borderId="0" xfId="0" applyFont="1"/>
    <xf numFmtId="0" fontId="3" fillId="3" borderId="6" xfId="0" applyFont="1" applyFill="1" applyBorder="1" applyAlignment="1">
      <alignment horizontal="center"/>
    </xf>
    <xf numFmtId="0" fontId="0" fillId="3" borderId="0" xfId="0" applyFill="1"/>
    <xf numFmtId="3" fontId="0" fillId="0" borderId="6" xfId="0" applyNumberFormat="1" applyBorder="1"/>
    <xf numFmtId="3" fontId="3" fillId="3" borderId="6" xfId="0" applyNumberFormat="1" applyFont="1" applyFill="1" applyBorder="1" applyAlignment="1">
      <alignment horizontal="center"/>
    </xf>
    <xf numFmtId="3" fontId="0" fillId="0" borderId="0" xfId="0" applyNumberFormat="1"/>
    <xf numFmtId="0" fontId="1" fillId="0" borderId="6" xfId="0" applyFont="1" applyBorder="1" applyAlignment="1">
      <alignment horizontal="center"/>
    </xf>
    <xf numFmtId="0" fontId="6" fillId="5" borderId="10" xfId="1" applyFont="1" applyAlignment="1">
      <alignment vertical="center"/>
    </xf>
    <xf numFmtId="3" fontId="6" fillId="5" borderId="10" xfId="1" applyNumberFormat="1" applyFont="1"/>
    <xf numFmtId="0" fontId="8" fillId="5" borderId="10" xfId="1" applyFont="1" applyAlignment="1">
      <alignment horizontal="center" vertical="top"/>
    </xf>
    <xf numFmtId="0" fontId="8" fillId="5" borderId="10" xfId="1" applyFont="1"/>
    <xf numFmtId="3" fontId="8" fillId="5" borderId="10" xfId="1" applyNumberFormat="1" applyFont="1"/>
    <xf numFmtId="0" fontId="8" fillId="5" borderId="10" xfId="1" applyFont="1" applyAlignment="1">
      <alignment wrapText="1"/>
    </xf>
    <xf numFmtId="164" fontId="8" fillId="5" borderId="10" xfId="1" applyNumberFormat="1" applyFont="1"/>
    <xf numFmtId="0" fontId="10" fillId="0" borderId="6" xfId="0" applyFont="1" applyBorder="1"/>
    <xf numFmtId="165" fontId="0" fillId="0" borderId="6" xfId="2" applyNumberFormat="1" applyFont="1" applyBorder="1"/>
    <xf numFmtId="165" fontId="0" fillId="0" borderId="6" xfId="0" applyNumberFormat="1" applyBorder="1"/>
    <xf numFmtId="0" fontId="2" fillId="0" borderId="6" xfId="0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2" fillId="0" borderId="6" xfId="0" applyFont="1" applyBorder="1"/>
    <xf numFmtId="0" fontId="12" fillId="2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6" xfId="0" applyFont="1" applyBorder="1"/>
    <xf numFmtId="3" fontId="5" fillId="0" borderId="6" xfId="0" applyNumberFormat="1" applyFont="1" applyBorder="1"/>
    <xf numFmtId="0" fontId="13" fillId="0" borderId="6" xfId="0" applyFont="1" applyBorder="1"/>
    <xf numFmtId="165" fontId="5" fillId="0" borderId="6" xfId="2" applyNumberFormat="1" applyFont="1" applyBorder="1"/>
    <xf numFmtId="0" fontId="2" fillId="4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3" fontId="8" fillId="5" borderId="11" xfId="1" applyNumberFormat="1" applyFont="1" applyBorder="1"/>
    <xf numFmtId="3" fontId="7" fillId="4" borderId="6" xfId="1" applyNumberFormat="1" applyFont="1" applyFill="1" applyBorder="1"/>
    <xf numFmtId="0" fontId="5" fillId="4" borderId="6" xfId="0" applyFont="1" applyFill="1" applyBorder="1"/>
    <xf numFmtId="0" fontId="0" fillId="6" borderId="6" xfId="0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0" fillId="9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6" fillId="2" borderId="10" xfId="1" applyFont="1" applyFill="1" applyAlignment="1">
      <alignment horizontal="center"/>
    </xf>
    <xf numFmtId="0" fontId="8" fillId="5" borderId="10" xfId="1" applyFont="1" applyAlignment="1">
      <alignment vertical="center"/>
    </xf>
    <xf numFmtId="0" fontId="6" fillId="5" borderId="10" xfId="1" applyFont="1" applyAlignment="1">
      <alignment horizontal="center"/>
    </xf>
    <xf numFmtId="0" fontId="6" fillId="5" borderId="11" xfId="1" applyFont="1" applyBorder="1" applyAlignment="1">
      <alignment horizontal="center"/>
    </xf>
    <xf numFmtId="0" fontId="6" fillId="5" borderId="6" xfId="1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71" fontId="5" fillId="0" borderId="6" xfId="2" applyNumberFormat="1" applyFont="1" applyBorder="1"/>
  </cellXfs>
  <cellStyles count="3">
    <cellStyle name="Comma" xfId="2" builtinId="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292101</xdr:colOff>
      <xdr:row>0</xdr:row>
      <xdr:rowOff>91608</xdr:rowOff>
    </xdr:from>
    <xdr:to>
      <xdr:col>12</xdr:col>
      <xdr:colOff>25401</xdr:colOff>
      <xdr:row>3</xdr:row>
      <xdr:rowOff>1085969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8735E-694F-0D16-7C10-9543FEC22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1701" y="91608"/>
          <a:ext cx="4610100" cy="2169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CF4-CD00-474F-B1EC-447DA3A139B9}">
  <dimension ref="A1:E18"/>
  <sheetViews>
    <sheetView zoomScale="150" zoomScaleNormal="150" workbookViewId="0">
      <selection activeCell="H11" sqref="H11"/>
    </sheetView>
  </sheetViews>
  <sheetFormatPr defaultRowHeight="14.5" x14ac:dyDescent="0.35"/>
  <cols>
    <col min="2" max="2" width="52.54296875" customWidth="1"/>
    <col min="3" max="3" width="14.90625" customWidth="1"/>
    <col min="5" max="5" width="15.36328125" customWidth="1"/>
  </cols>
  <sheetData>
    <row r="1" spans="1:5" x14ac:dyDescent="0.35">
      <c r="A1" s="57" t="s">
        <v>23</v>
      </c>
      <c r="B1" s="57"/>
      <c r="C1" s="57"/>
      <c r="D1" s="57"/>
      <c r="E1" s="57"/>
    </row>
    <row r="2" spans="1:5" x14ac:dyDescent="0.35">
      <c r="A2" s="42" t="s">
        <v>1</v>
      </c>
      <c r="B2" s="42" t="s">
        <v>19</v>
      </c>
      <c r="C2" s="42" t="s">
        <v>20</v>
      </c>
      <c r="D2" s="42" t="s">
        <v>21</v>
      </c>
      <c r="E2" s="42" t="s">
        <v>22</v>
      </c>
    </row>
    <row r="3" spans="1:5" x14ac:dyDescent="0.35">
      <c r="A3" s="36">
        <v>1</v>
      </c>
      <c r="B3" s="3" t="s">
        <v>84</v>
      </c>
      <c r="C3" s="29">
        <v>1520000</v>
      </c>
      <c r="D3" s="3">
        <v>10</v>
      </c>
      <c r="E3" s="29">
        <f t="shared" ref="E3:E8" si="0">C3*D3</f>
        <v>15200000</v>
      </c>
    </row>
    <row r="4" spans="1:5" x14ac:dyDescent="0.35">
      <c r="A4" s="36">
        <v>2</v>
      </c>
      <c r="B4" s="3" t="s">
        <v>85</v>
      </c>
      <c r="C4" s="29">
        <v>5400000</v>
      </c>
      <c r="D4" s="3">
        <v>10</v>
      </c>
      <c r="E4" s="29">
        <f t="shared" si="0"/>
        <v>54000000</v>
      </c>
    </row>
    <row r="5" spans="1:5" x14ac:dyDescent="0.35">
      <c r="A5" s="36">
        <v>3</v>
      </c>
      <c r="B5" s="3" t="s">
        <v>86</v>
      </c>
      <c r="C5" s="29">
        <v>3490000</v>
      </c>
      <c r="D5" s="3">
        <v>10</v>
      </c>
      <c r="E5" s="29">
        <f t="shared" si="0"/>
        <v>34900000</v>
      </c>
    </row>
    <row r="6" spans="1:5" x14ac:dyDescent="0.35">
      <c r="A6" s="36">
        <v>4</v>
      </c>
      <c r="B6" s="3" t="s">
        <v>87</v>
      </c>
      <c r="C6" s="29">
        <v>9200000</v>
      </c>
      <c r="D6" s="3">
        <v>10</v>
      </c>
      <c r="E6" s="29">
        <f t="shared" si="0"/>
        <v>92000000</v>
      </c>
    </row>
    <row r="7" spans="1:5" x14ac:dyDescent="0.35">
      <c r="A7" s="36">
        <v>5</v>
      </c>
      <c r="B7" s="3" t="s">
        <v>88</v>
      </c>
      <c r="C7" s="29">
        <v>890000</v>
      </c>
      <c r="D7" s="3">
        <v>20</v>
      </c>
      <c r="E7" s="29">
        <f t="shared" si="0"/>
        <v>17800000</v>
      </c>
    </row>
    <row r="8" spans="1:5" x14ac:dyDescent="0.35">
      <c r="A8" s="36">
        <v>6</v>
      </c>
      <c r="B8" s="3" t="s">
        <v>89</v>
      </c>
      <c r="C8" s="29">
        <v>84000</v>
      </c>
      <c r="D8" s="3">
        <v>30</v>
      </c>
      <c r="E8" s="29">
        <f t="shared" si="0"/>
        <v>2520000</v>
      </c>
    </row>
    <row r="9" spans="1:5" x14ac:dyDescent="0.35">
      <c r="A9" s="36">
        <v>7</v>
      </c>
      <c r="B9" s="3" t="s">
        <v>90</v>
      </c>
      <c r="C9" s="29">
        <v>150000</v>
      </c>
      <c r="D9" s="3">
        <v>30</v>
      </c>
      <c r="E9" s="29">
        <f>C9*D9</f>
        <v>4500000</v>
      </c>
    </row>
    <row r="10" spans="1:5" x14ac:dyDescent="0.35">
      <c r="A10" s="36">
        <v>8</v>
      </c>
      <c r="B10" s="3" t="s">
        <v>91</v>
      </c>
      <c r="C10" s="29">
        <v>1650000</v>
      </c>
      <c r="D10" s="3">
        <v>20</v>
      </c>
      <c r="E10" s="29">
        <f t="shared" ref="E10:E11" si="1">C10*D10</f>
        <v>33000000</v>
      </c>
    </row>
    <row r="11" spans="1:5" x14ac:dyDescent="0.35">
      <c r="A11" s="36">
        <v>9</v>
      </c>
      <c r="B11" s="3" t="s">
        <v>92</v>
      </c>
      <c r="C11" s="29">
        <v>1290000</v>
      </c>
      <c r="D11" s="3">
        <v>20</v>
      </c>
      <c r="E11" s="29">
        <f t="shared" si="1"/>
        <v>25800000</v>
      </c>
    </row>
    <row r="12" spans="1:5" x14ac:dyDescent="0.35">
      <c r="A12" s="36">
        <v>10</v>
      </c>
      <c r="B12" s="3" t="s">
        <v>106</v>
      </c>
      <c r="C12" s="29">
        <v>3200000</v>
      </c>
      <c r="D12" s="3"/>
      <c r="E12" s="29">
        <v>3200000</v>
      </c>
    </row>
    <row r="13" spans="1:5" x14ac:dyDescent="0.35">
      <c r="A13" s="58" t="s">
        <v>12</v>
      </c>
      <c r="B13" s="58"/>
      <c r="C13" s="58"/>
      <c r="D13" s="58"/>
      <c r="E13" s="30">
        <f>SUM(E3:E12)</f>
        <v>282920000</v>
      </c>
    </row>
    <row r="14" spans="1:5" x14ac:dyDescent="0.35">
      <c r="A14" s="8"/>
      <c r="B14" s="9"/>
      <c r="C14" s="11" t="s">
        <v>24</v>
      </c>
      <c r="D14" s="9" t="s">
        <v>24</v>
      </c>
      <c r="E14" s="9"/>
    </row>
    <row r="15" spans="1:5" x14ac:dyDescent="0.35">
      <c r="A15" s="10"/>
      <c r="B15" s="11"/>
      <c r="C15" s="11" t="s">
        <v>24</v>
      </c>
      <c r="D15" s="11" t="s">
        <v>24</v>
      </c>
      <c r="E15" s="11" t="s">
        <v>24</v>
      </c>
    </row>
    <row r="16" spans="1:5" x14ac:dyDescent="0.35">
      <c r="A16" s="11"/>
      <c r="B16" s="11"/>
      <c r="C16" s="11" t="s">
        <v>24</v>
      </c>
      <c r="D16" s="11" t="s">
        <v>24</v>
      </c>
      <c r="E16" s="11" t="s">
        <v>24</v>
      </c>
    </row>
    <row r="17" spans="1:5" x14ac:dyDescent="0.35">
      <c r="A17" s="10"/>
      <c r="B17" s="11" t="s">
        <v>24</v>
      </c>
      <c r="C17" s="11" t="s">
        <v>24</v>
      </c>
      <c r="D17" s="11" t="s">
        <v>24</v>
      </c>
      <c r="E17" s="11" t="s">
        <v>24</v>
      </c>
    </row>
    <row r="18" spans="1:5" x14ac:dyDescent="0.35">
      <c r="A18" s="10"/>
      <c r="B18" s="11" t="s">
        <v>24</v>
      </c>
      <c r="C18" s="11"/>
      <c r="D18" s="11" t="s">
        <v>24</v>
      </c>
      <c r="E18" s="11" t="s">
        <v>24</v>
      </c>
    </row>
  </sheetData>
  <mergeCells count="2">
    <mergeCell ref="A1:E1"/>
    <mergeCell ref="A13:D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B3A7-22A2-485F-82D7-3AA78E81071F}">
  <dimension ref="A1:E5"/>
  <sheetViews>
    <sheetView zoomScale="190" zoomScaleNormal="190" workbookViewId="0">
      <selection activeCell="D5" sqref="D5"/>
    </sheetView>
  </sheetViews>
  <sheetFormatPr defaultRowHeight="14.5" x14ac:dyDescent="0.35"/>
  <cols>
    <col min="1" max="1" width="36.81640625" customWidth="1"/>
    <col min="2" max="2" width="3.90625" customWidth="1"/>
    <col min="3" max="3" width="16" bestFit="1" customWidth="1"/>
    <col min="4" max="4" width="17.81640625" bestFit="1" customWidth="1"/>
    <col min="5" max="5" width="10.81640625" bestFit="1" customWidth="1"/>
  </cols>
  <sheetData>
    <row r="1" spans="1:5" x14ac:dyDescent="0.35">
      <c r="A1" s="64" t="s">
        <v>69</v>
      </c>
      <c r="B1" s="64"/>
      <c r="C1" s="64"/>
      <c r="D1" s="64"/>
      <c r="E1" s="64"/>
    </row>
    <row r="2" spans="1:5" x14ac:dyDescent="0.35">
      <c r="A2" s="59" t="s">
        <v>107</v>
      </c>
      <c r="B2" s="59"/>
      <c r="C2" s="59"/>
      <c r="D2" s="43" t="s">
        <v>34</v>
      </c>
      <c r="E2" s="43" t="s">
        <v>35</v>
      </c>
    </row>
    <row r="3" spans="1:5" x14ac:dyDescent="0.35">
      <c r="A3" s="59"/>
      <c r="B3" s="59"/>
      <c r="C3" s="59"/>
      <c r="D3" s="43" t="s">
        <v>36</v>
      </c>
      <c r="E3" s="43" t="s">
        <v>71</v>
      </c>
    </row>
    <row r="4" spans="1:5" x14ac:dyDescent="0.35">
      <c r="A4" s="60" t="s">
        <v>37</v>
      </c>
      <c r="B4" s="61"/>
      <c r="C4" s="7" t="s">
        <v>142</v>
      </c>
      <c r="D4" s="43"/>
      <c r="E4" s="43"/>
    </row>
    <row r="5" spans="1:5" x14ac:dyDescent="0.35">
      <c r="A5" s="62"/>
      <c r="B5" s="63"/>
      <c r="C5" s="7" t="s">
        <v>38</v>
      </c>
      <c r="D5" s="52">
        <v>15000000</v>
      </c>
      <c r="E5" s="52">
        <f>D5*3</f>
        <v>45000000</v>
      </c>
    </row>
  </sheetData>
  <mergeCells count="3">
    <mergeCell ref="A2:C3"/>
    <mergeCell ref="A4:B5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9F43-D0DD-4CD8-BC7F-584635B7148B}">
  <dimension ref="A1:F11"/>
  <sheetViews>
    <sheetView zoomScale="112" zoomScaleNormal="112" workbookViewId="0">
      <selection activeCell="I16" sqref="I16"/>
    </sheetView>
  </sheetViews>
  <sheetFormatPr defaultRowHeight="14.5" x14ac:dyDescent="0.35"/>
  <cols>
    <col min="1" max="1" width="9" bestFit="1" customWidth="1"/>
    <col min="2" max="2" width="14" bestFit="1" customWidth="1"/>
    <col min="3" max="3" width="14" customWidth="1"/>
    <col min="4" max="4" width="14.26953125" bestFit="1" customWidth="1"/>
    <col min="5" max="5" width="9" bestFit="1" customWidth="1"/>
    <col min="6" max="6" width="13.1796875" customWidth="1"/>
  </cols>
  <sheetData>
    <row r="1" spans="1:6" x14ac:dyDescent="0.35">
      <c r="A1" s="68" t="s">
        <v>25</v>
      </c>
      <c r="B1" s="69"/>
      <c r="C1" s="69"/>
      <c r="D1" s="69"/>
      <c r="E1" s="69"/>
      <c r="F1" s="70"/>
    </row>
    <row r="2" spans="1:6" x14ac:dyDescent="0.35">
      <c r="A2" s="34" t="s">
        <v>1</v>
      </c>
      <c r="B2" s="34" t="s">
        <v>26</v>
      </c>
      <c r="C2" s="34" t="s">
        <v>27</v>
      </c>
      <c r="D2" s="34" t="s">
        <v>28</v>
      </c>
      <c r="E2" s="34" t="s">
        <v>29</v>
      </c>
      <c r="F2" s="34" t="s">
        <v>30</v>
      </c>
    </row>
    <row r="3" spans="1:6" x14ac:dyDescent="0.35">
      <c r="A3" s="7">
        <v>1</v>
      </c>
      <c r="B3" s="7" t="s">
        <v>72</v>
      </c>
      <c r="C3" s="7" t="s">
        <v>31</v>
      </c>
      <c r="D3" s="7">
        <v>2000</v>
      </c>
      <c r="E3" s="13">
        <v>30000</v>
      </c>
      <c r="F3" s="13">
        <f>(D3*E3)</f>
        <v>60000000</v>
      </c>
    </row>
    <row r="4" spans="1:6" x14ac:dyDescent="0.35">
      <c r="A4" s="7">
        <v>2</v>
      </c>
      <c r="B4" s="7" t="s">
        <v>73</v>
      </c>
      <c r="C4" s="7" t="s">
        <v>74</v>
      </c>
      <c r="D4" s="7">
        <v>1000</v>
      </c>
      <c r="E4" s="13">
        <v>25000</v>
      </c>
      <c r="F4" s="13">
        <f t="shared" ref="F4:F9" si="0">(D4*E4)</f>
        <v>25000000</v>
      </c>
    </row>
    <row r="5" spans="1:6" x14ac:dyDescent="0.35">
      <c r="A5" s="7">
        <v>3</v>
      </c>
      <c r="B5" s="7" t="s">
        <v>75</v>
      </c>
      <c r="C5" s="7" t="s">
        <v>76</v>
      </c>
      <c r="D5" s="7">
        <v>2000</v>
      </c>
      <c r="E5" s="13">
        <v>23000</v>
      </c>
      <c r="F5" s="13">
        <f t="shared" si="0"/>
        <v>46000000</v>
      </c>
    </row>
    <row r="6" spans="1:6" x14ac:dyDescent="0.35">
      <c r="A6" s="7">
        <v>4</v>
      </c>
      <c r="B6" s="7" t="s">
        <v>77</v>
      </c>
      <c r="C6" s="7" t="s">
        <v>32</v>
      </c>
      <c r="D6" s="7">
        <v>1650</v>
      </c>
      <c r="E6" s="13">
        <v>2000</v>
      </c>
      <c r="F6" s="13">
        <f t="shared" si="0"/>
        <v>3300000</v>
      </c>
    </row>
    <row r="7" spans="1:6" x14ac:dyDescent="0.35">
      <c r="A7" s="7">
        <v>5</v>
      </c>
      <c r="B7" s="7" t="s">
        <v>78</v>
      </c>
      <c r="C7" s="7" t="s">
        <v>76</v>
      </c>
      <c r="D7" s="7">
        <v>1600</v>
      </c>
      <c r="E7" s="13">
        <v>15000</v>
      </c>
      <c r="F7" s="13">
        <f t="shared" si="0"/>
        <v>24000000</v>
      </c>
    </row>
    <row r="8" spans="1:6" x14ac:dyDescent="0.35">
      <c r="A8" s="7">
        <v>6</v>
      </c>
      <c r="B8" s="7" t="s">
        <v>79</v>
      </c>
      <c r="C8" s="7" t="s">
        <v>31</v>
      </c>
      <c r="D8" s="12">
        <v>150</v>
      </c>
      <c r="E8" s="13">
        <v>20000</v>
      </c>
      <c r="F8" s="13">
        <f t="shared" si="0"/>
        <v>3000000</v>
      </c>
    </row>
    <row r="9" spans="1:6" x14ac:dyDescent="0.35">
      <c r="A9" s="7">
        <v>7</v>
      </c>
      <c r="B9" s="7" t="s">
        <v>80</v>
      </c>
      <c r="C9" s="7" t="s">
        <v>31</v>
      </c>
      <c r="D9" s="7">
        <v>0.2</v>
      </c>
      <c r="E9" s="13">
        <v>150000</v>
      </c>
      <c r="F9" s="13">
        <f t="shared" si="0"/>
        <v>30000</v>
      </c>
    </row>
    <row r="10" spans="1:6" x14ac:dyDescent="0.35">
      <c r="A10" s="65" t="s">
        <v>33</v>
      </c>
      <c r="B10" s="66"/>
      <c r="C10" s="66"/>
      <c r="D10" s="66"/>
      <c r="E10" s="67"/>
      <c r="F10" s="13">
        <f>SUM(F3:F9)</f>
        <v>161330000</v>
      </c>
    </row>
    <row r="11" spans="1:6" x14ac:dyDescent="0.35">
      <c r="A11" s="65" t="s">
        <v>135</v>
      </c>
      <c r="B11" s="66"/>
      <c r="C11" s="66"/>
      <c r="D11" s="66"/>
      <c r="E11" s="66"/>
      <c r="F11" s="67"/>
    </row>
  </sheetData>
  <mergeCells count="3">
    <mergeCell ref="A11:F11"/>
    <mergeCell ref="A10:E10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6AEB-DE60-4C90-81B7-277F9171E3BB}">
  <dimension ref="A1:O20"/>
  <sheetViews>
    <sheetView workbookViewId="0">
      <selection activeCell="G13" sqref="G13"/>
    </sheetView>
  </sheetViews>
  <sheetFormatPr defaultRowHeight="14.5" x14ac:dyDescent="0.35"/>
  <cols>
    <col min="1" max="1" width="19.36328125" bestFit="1" customWidth="1"/>
    <col min="2" max="2" width="27.54296875" customWidth="1"/>
    <col min="3" max="3" width="14.1796875" customWidth="1"/>
    <col min="4" max="4" width="12.08984375" customWidth="1"/>
    <col min="5" max="5" width="13.81640625" customWidth="1"/>
    <col min="6" max="7" width="8.90625" customWidth="1"/>
    <col min="10" max="10" width="19.90625" bestFit="1" customWidth="1"/>
    <col min="11" max="11" width="12.90625" customWidth="1"/>
    <col min="12" max="12" width="12.08984375" customWidth="1"/>
    <col min="13" max="13" width="15.08984375" customWidth="1"/>
    <col min="14" max="14" width="11.81640625" customWidth="1"/>
  </cols>
  <sheetData>
    <row r="1" spans="1:15" x14ac:dyDescent="0.35">
      <c r="A1" s="64" t="s">
        <v>0</v>
      </c>
      <c r="B1" s="64"/>
      <c r="C1" s="64"/>
      <c r="D1" s="64"/>
      <c r="E1" s="64"/>
      <c r="F1" s="6"/>
      <c r="G1" s="4"/>
      <c r="O1" s="5"/>
    </row>
    <row r="2" spans="1:15" x14ac:dyDescent="0.35">
      <c r="A2" s="44" t="s">
        <v>1</v>
      </c>
      <c r="B2" s="45" t="s">
        <v>2</v>
      </c>
      <c r="C2" s="45" t="s">
        <v>18</v>
      </c>
      <c r="D2" s="45" t="s">
        <v>3</v>
      </c>
      <c r="E2" s="45" t="s">
        <v>4</v>
      </c>
      <c r="F2" s="1"/>
      <c r="O2" s="1"/>
    </row>
    <row r="3" spans="1:15" x14ac:dyDescent="0.35">
      <c r="A3" s="37">
        <v>1</v>
      </c>
      <c r="B3" s="3" t="s">
        <v>81</v>
      </c>
      <c r="C3" s="17">
        <v>15000000</v>
      </c>
      <c r="D3" s="3">
        <v>1</v>
      </c>
      <c r="E3" s="17">
        <f t="shared" ref="E3:E8" si="0">C3*D3</f>
        <v>15000000</v>
      </c>
      <c r="F3" s="1"/>
    </row>
    <row r="4" spans="1:15" x14ac:dyDescent="0.35">
      <c r="A4" s="37">
        <v>2</v>
      </c>
      <c r="B4" s="3" t="s">
        <v>82</v>
      </c>
      <c r="C4" s="17">
        <v>8000000</v>
      </c>
      <c r="D4" s="3">
        <v>4</v>
      </c>
      <c r="E4" s="17">
        <f t="shared" si="0"/>
        <v>32000000</v>
      </c>
    </row>
    <row r="5" spans="1:15" x14ac:dyDescent="0.35">
      <c r="A5" s="37">
        <v>3</v>
      </c>
      <c r="B5" s="3" t="s">
        <v>110</v>
      </c>
      <c r="C5" s="17">
        <v>5000000</v>
      </c>
      <c r="D5" s="3">
        <v>7</v>
      </c>
      <c r="E5" s="17">
        <f t="shared" si="0"/>
        <v>35000000</v>
      </c>
    </row>
    <row r="6" spans="1:15" x14ac:dyDescent="0.35">
      <c r="A6" s="37">
        <v>4</v>
      </c>
      <c r="B6" s="3" t="s">
        <v>109</v>
      </c>
      <c r="C6" s="17">
        <v>5000000</v>
      </c>
      <c r="D6" s="3">
        <v>2</v>
      </c>
      <c r="E6" s="17">
        <f t="shared" si="0"/>
        <v>10000000</v>
      </c>
      <c r="F6" s="1"/>
    </row>
    <row r="7" spans="1:15" x14ac:dyDescent="0.35">
      <c r="A7" s="37">
        <v>5</v>
      </c>
      <c r="B7" s="3" t="s">
        <v>111</v>
      </c>
      <c r="C7" s="17">
        <v>5000000</v>
      </c>
      <c r="D7" s="3">
        <v>2</v>
      </c>
      <c r="E7" s="17">
        <f t="shared" si="0"/>
        <v>10000000</v>
      </c>
    </row>
    <row r="8" spans="1:15" x14ac:dyDescent="0.35">
      <c r="A8" s="37">
        <v>6</v>
      </c>
      <c r="B8" s="3" t="s">
        <v>112</v>
      </c>
      <c r="C8" s="17">
        <v>4000000</v>
      </c>
      <c r="D8" s="3">
        <v>1</v>
      </c>
      <c r="E8" s="17">
        <f t="shared" si="0"/>
        <v>4000000</v>
      </c>
    </row>
    <row r="9" spans="1:15" x14ac:dyDescent="0.35">
      <c r="A9" s="2"/>
      <c r="B9" s="3" t="s">
        <v>5</v>
      </c>
      <c r="C9" s="3"/>
      <c r="D9" s="3">
        <f>SUM(D3:D8)</f>
        <v>17</v>
      </c>
      <c r="E9" s="17">
        <f>SUM(E3:E8)</f>
        <v>106000000</v>
      </c>
    </row>
    <row r="11" spans="1:15" x14ac:dyDescent="0.35">
      <c r="A11" s="71" t="s">
        <v>6</v>
      </c>
      <c r="B11" s="71"/>
      <c r="C11" s="71"/>
      <c r="D11" s="71"/>
      <c r="E11" s="71"/>
    </row>
    <row r="12" spans="1:15" x14ac:dyDescent="0.35">
      <c r="A12" s="28" t="s">
        <v>7</v>
      </c>
      <c r="B12" s="28" t="s">
        <v>8</v>
      </c>
      <c r="C12" s="28" t="s">
        <v>9</v>
      </c>
      <c r="D12" s="28" t="s">
        <v>10</v>
      </c>
      <c r="E12" s="3" t="s">
        <v>4</v>
      </c>
    </row>
    <row r="13" spans="1:15" x14ac:dyDescent="0.35">
      <c r="A13" s="3" t="s">
        <v>141</v>
      </c>
      <c r="B13" s="17">
        <v>3000</v>
      </c>
      <c r="C13" s="3" t="s">
        <v>11</v>
      </c>
      <c r="D13" s="3">
        <v>5000</v>
      </c>
      <c r="E13" s="17">
        <f>B13*D13</f>
        <v>15000000</v>
      </c>
    </row>
    <row r="14" spans="1:15" x14ac:dyDescent="0.35">
      <c r="A14" s="3" t="s">
        <v>113</v>
      </c>
      <c r="B14" s="17">
        <v>2000</v>
      </c>
      <c r="C14" s="3" t="s">
        <v>11</v>
      </c>
      <c r="D14" s="3">
        <v>15000</v>
      </c>
      <c r="E14" s="17">
        <f t="shared" ref="E14:E19" si="1">B14*D14</f>
        <v>30000000</v>
      </c>
    </row>
    <row r="15" spans="1:15" x14ac:dyDescent="0.35">
      <c r="A15" s="3" t="s">
        <v>83</v>
      </c>
      <c r="B15" s="17">
        <v>800</v>
      </c>
      <c r="C15" s="3" t="s">
        <v>11</v>
      </c>
      <c r="D15" s="3">
        <v>20000</v>
      </c>
      <c r="E15" s="17">
        <f t="shared" si="1"/>
        <v>16000000</v>
      </c>
    </row>
    <row r="16" spans="1:15" x14ac:dyDescent="0.35">
      <c r="A16" s="3" t="s">
        <v>114</v>
      </c>
      <c r="B16" s="17">
        <v>500</v>
      </c>
      <c r="C16" s="3" t="s">
        <v>11</v>
      </c>
      <c r="D16" s="3">
        <v>5000</v>
      </c>
      <c r="E16" s="17">
        <f t="shared" si="1"/>
        <v>2500000</v>
      </c>
    </row>
    <row r="17" spans="1:5" x14ac:dyDescent="0.35">
      <c r="A17" s="3" t="s">
        <v>124</v>
      </c>
      <c r="B17" s="17">
        <v>500</v>
      </c>
      <c r="C17" s="3" t="s">
        <v>11</v>
      </c>
      <c r="D17" s="3">
        <v>5000</v>
      </c>
      <c r="E17" s="17">
        <f t="shared" si="1"/>
        <v>2500000</v>
      </c>
    </row>
    <row r="18" spans="1:5" x14ac:dyDescent="0.35">
      <c r="A18" s="3" t="s">
        <v>125</v>
      </c>
      <c r="B18" s="17">
        <v>1000</v>
      </c>
      <c r="C18" s="3" t="s">
        <v>11</v>
      </c>
      <c r="D18" s="3">
        <v>500</v>
      </c>
      <c r="E18" s="17">
        <f t="shared" si="1"/>
        <v>500000</v>
      </c>
    </row>
    <row r="19" spans="1:5" x14ac:dyDescent="0.35">
      <c r="A19" s="3" t="s">
        <v>126</v>
      </c>
      <c r="B19" s="17">
        <v>35000</v>
      </c>
      <c r="C19" s="3" t="s">
        <v>11</v>
      </c>
      <c r="D19" s="3">
        <v>250</v>
      </c>
      <c r="E19" s="17">
        <f t="shared" si="1"/>
        <v>8750000</v>
      </c>
    </row>
    <row r="20" spans="1:5" x14ac:dyDescent="0.35">
      <c r="A20" s="3"/>
      <c r="B20" s="58" t="s">
        <v>12</v>
      </c>
      <c r="C20" s="58"/>
      <c r="D20" s="58"/>
      <c r="E20" s="17">
        <f>SUM(E13:E19)</f>
        <v>75250000</v>
      </c>
    </row>
  </sheetData>
  <mergeCells count="3">
    <mergeCell ref="A11:E11"/>
    <mergeCell ref="A1:E1"/>
    <mergeCell ref="B20:D20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7B0A-0672-4003-81AD-801AFCDD0CE6}">
  <dimension ref="A1:D5"/>
  <sheetViews>
    <sheetView workbookViewId="0">
      <selection sqref="A1:D5"/>
    </sheetView>
  </sheetViews>
  <sheetFormatPr defaultRowHeight="14.5" x14ac:dyDescent="0.35"/>
  <cols>
    <col min="1" max="1" width="11.453125" customWidth="1"/>
    <col min="2" max="2" width="49.81640625" customWidth="1"/>
    <col min="3" max="3" width="25.81640625" customWidth="1"/>
    <col min="4" max="4" width="47.36328125" customWidth="1"/>
  </cols>
  <sheetData>
    <row r="1" spans="1:4" x14ac:dyDescent="0.35">
      <c r="A1" s="72" t="s">
        <v>17</v>
      </c>
      <c r="B1" s="72"/>
      <c r="C1" s="72"/>
      <c r="D1" s="72"/>
    </row>
    <row r="2" spans="1:4" x14ac:dyDescent="0.35">
      <c r="A2" s="31" t="s">
        <v>1</v>
      </c>
      <c r="B2" s="31" t="s">
        <v>14</v>
      </c>
      <c r="C2" s="31" t="s">
        <v>15</v>
      </c>
      <c r="D2" s="31" t="s">
        <v>16</v>
      </c>
    </row>
    <row r="3" spans="1:4" ht="18.5" customHeight="1" x14ac:dyDescent="0.35">
      <c r="A3" s="20">
        <v>1</v>
      </c>
      <c r="B3" s="20" t="s">
        <v>108</v>
      </c>
      <c r="C3" s="32">
        <v>3000000</v>
      </c>
      <c r="D3" s="33" t="s">
        <v>119</v>
      </c>
    </row>
    <row r="4" spans="1:4" x14ac:dyDescent="0.35">
      <c r="A4" s="20">
        <v>2</v>
      </c>
      <c r="B4" s="20" t="s">
        <v>93</v>
      </c>
      <c r="C4" s="32">
        <v>500000</v>
      </c>
      <c r="D4" s="33" t="s">
        <v>120</v>
      </c>
    </row>
    <row r="5" spans="1:4" x14ac:dyDescent="0.35">
      <c r="A5" s="20"/>
      <c r="B5" s="20" t="s">
        <v>13</v>
      </c>
      <c r="C5" s="32">
        <f>SUM(C3:C4)</f>
        <v>3500000</v>
      </c>
      <c r="D5" s="7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4DB5-33C4-4B2E-B89F-C08B0D7FA497}">
  <dimension ref="A1:E17"/>
  <sheetViews>
    <sheetView zoomScaleNormal="100" workbookViewId="0">
      <selection activeCell="E15" sqref="E15"/>
    </sheetView>
  </sheetViews>
  <sheetFormatPr defaultColWidth="8.90625" defaultRowHeight="16.5" x14ac:dyDescent="0.35"/>
  <cols>
    <col min="1" max="1" width="27.36328125" style="14" customWidth="1"/>
    <col min="2" max="2" width="18.1796875" style="14" bestFit="1" customWidth="1"/>
    <col min="3" max="3" width="26.36328125" style="14" customWidth="1"/>
    <col min="4" max="4" width="11.90625" style="14" bestFit="1" customWidth="1"/>
    <col min="5" max="5" width="46.7265625" style="14" bestFit="1" customWidth="1"/>
    <col min="6" max="16384" width="8.90625" style="14"/>
  </cols>
  <sheetData>
    <row r="1" spans="1:5" x14ac:dyDescent="0.35">
      <c r="A1" s="75" t="s">
        <v>42</v>
      </c>
      <c r="B1" s="75"/>
      <c r="C1" s="75"/>
    </row>
    <row r="2" spans="1:5" x14ac:dyDescent="0.35">
      <c r="A2" s="76" t="s">
        <v>55</v>
      </c>
      <c r="B2" s="76"/>
      <c r="C2" s="23">
        <v>25000</v>
      </c>
    </row>
    <row r="3" spans="1:5" x14ac:dyDescent="0.35">
      <c r="A3" s="21" t="s">
        <v>39</v>
      </c>
      <c r="B3" s="21" t="s">
        <v>40</v>
      </c>
      <c r="C3" s="21" t="s">
        <v>41</v>
      </c>
    </row>
    <row r="4" spans="1:5" x14ac:dyDescent="0.35">
      <c r="A4" s="24" t="s">
        <v>43</v>
      </c>
      <c r="B4" s="27">
        <f>C4*100/C11</f>
        <v>19.687305416167398</v>
      </c>
      <c r="C4" s="25">
        <f>'Nhân sự, bao bì'!E20</f>
        <v>75250000</v>
      </c>
    </row>
    <row r="5" spans="1:5" x14ac:dyDescent="0.35">
      <c r="A5" s="24" t="s">
        <v>44</v>
      </c>
      <c r="B5" s="27">
        <f>C5*100/C11</f>
        <v>3.9243798171762254</v>
      </c>
      <c r="C5" s="25">
        <f>'Chi Phí mặt bằng'!D5</f>
        <v>15000000</v>
      </c>
    </row>
    <row r="6" spans="1:5" ht="33" x14ac:dyDescent="0.35">
      <c r="A6" s="26" t="s">
        <v>70</v>
      </c>
      <c r="B6" s="27">
        <f>C6*100/C11</f>
        <v>3.700951792918326</v>
      </c>
      <c r="C6" s="25">
        <f>'Máy móc, thiết bị'!E13*5%</f>
        <v>14146000</v>
      </c>
    </row>
    <row r="7" spans="1:5" x14ac:dyDescent="0.35">
      <c r="A7" s="24" t="s">
        <v>45</v>
      </c>
      <c r="B7" s="27">
        <f>C7*100/C11</f>
        <v>42.208013060336029</v>
      </c>
      <c r="C7" s="25">
        <f>'Chi phí vật liệu'!F10</f>
        <v>161330000</v>
      </c>
    </row>
    <row r="8" spans="1:5" x14ac:dyDescent="0.35">
      <c r="A8" s="24" t="s">
        <v>46</v>
      </c>
      <c r="B8" s="27">
        <f>C8*100/C11</f>
        <v>0.91568862400778595</v>
      </c>
      <c r="C8" s="25">
        <f>'Chi phí quảng cáo'!C5</f>
        <v>3500000</v>
      </c>
    </row>
    <row r="9" spans="1:5" x14ac:dyDescent="0.35">
      <c r="A9" s="24" t="s">
        <v>47</v>
      </c>
      <c r="B9" s="27">
        <f>C9*100/C11</f>
        <v>27.732284041378662</v>
      </c>
      <c r="C9" s="25">
        <f>'Nhân sự, bao bì'!E9</f>
        <v>106000000</v>
      </c>
    </row>
    <row r="10" spans="1:5" ht="33" x14ac:dyDescent="0.35">
      <c r="A10" s="26" t="s">
        <v>48</v>
      </c>
      <c r="B10" s="27">
        <f>C10*100/C11</f>
        <v>1.8313772480155719</v>
      </c>
      <c r="C10" s="25">
        <f>'Chi phí vốn'!C9</f>
        <v>7000000</v>
      </c>
    </row>
    <row r="11" spans="1:5" x14ac:dyDescent="0.35">
      <c r="A11" s="77" t="s">
        <v>49</v>
      </c>
      <c r="B11" s="77"/>
      <c r="C11" s="22">
        <f>SUM(C4:C10)</f>
        <v>382226000</v>
      </c>
    </row>
    <row r="12" spans="1:5" x14ac:dyDescent="0.35">
      <c r="A12" s="24" t="s">
        <v>50</v>
      </c>
      <c r="B12" s="24"/>
      <c r="C12" s="25">
        <f>C11/C2</f>
        <v>15289.04</v>
      </c>
    </row>
    <row r="13" spans="1:5" x14ac:dyDescent="0.35">
      <c r="A13" s="24" t="s">
        <v>51</v>
      </c>
      <c r="B13" s="24"/>
      <c r="C13" s="25">
        <f>C12*0.1</f>
        <v>1528.9040000000002</v>
      </c>
    </row>
    <row r="14" spans="1:5" x14ac:dyDescent="0.35">
      <c r="A14" s="24" t="s">
        <v>52</v>
      </c>
      <c r="B14" s="24"/>
      <c r="C14" s="25">
        <f>C12*40%</f>
        <v>6115.6160000000009</v>
      </c>
    </row>
    <row r="15" spans="1:5" x14ac:dyDescent="0.35">
      <c r="A15" s="78" t="s">
        <v>53</v>
      </c>
      <c r="B15" s="78"/>
      <c r="C15" s="46">
        <f>SUM(C12:C14)</f>
        <v>22933.56</v>
      </c>
    </row>
    <row r="16" spans="1:5" x14ac:dyDescent="0.35">
      <c r="A16" s="79" t="s">
        <v>54</v>
      </c>
      <c r="B16" s="79"/>
      <c r="C16" s="47">
        <v>40000</v>
      </c>
      <c r="D16" s="48" t="s">
        <v>115</v>
      </c>
      <c r="E16" s="73" t="s">
        <v>116</v>
      </c>
    </row>
    <row r="17" spans="1:5" x14ac:dyDescent="0.35">
      <c r="A17" s="79"/>
      <c r="B17" s="79"/>
      <c r="C17" s="47">
        <v>30000</v>
      </c>
      <c r="D17" s="48" t="s">
        <v>143</v>
      </c>
      <c r="E17" s="74"/>
    </row>
  </sheetData>
  <mergeCells count="6">
    <mergeCell ref="E16:E17"/>
    <mergeCell ref="A1:C1"/>
    <mergeCell ref="A2:B2"/>
    <mergeCell ref="A11:B11"/>
    <mergeCell ref="A15:B15"/>
    <mergeCell ref="A16:B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9F3F-956A-480D-8F77-62E8350C630F}">
  <dimension ref="A1:E18"/>
  <sheetViews>
    <sheetView topLeftCell="A5" zoomScale="130" zoomScaleNormal="130" workbookViewId="0">
      <selection activeCell="C10" sqref="C10"/>
    </sheetView>
  </sheetViews>
  <sheetFormatPr defaultRowHeight="14.5" x14ac:dyDescent="0.35"/>
  <cols>
    <col min="2" max="2" width="32.453125" customWidth="1"/>
    <col min="3" max="3" width="22.36328125" bestFit="1" customWidth="1"/>
    <col min="4" max="4" width="36.1796875" bestFit="1" customWidth="1"/>
    <col min="5" max="5" width="27.1796875" customWidth="1"/>
  </cols>
  <sheetData>
    <row r="1" spans="1:5" x14ac:dyDescent="0.35">
      <c r="A1" s="64" t="s">
        <v>117</v>
      </c>
      <c r="B1" s="64"/>
      <c r="C1" s="64"/>
    </row>
    <row r="2" spans="1:5" x14ac:dyDescent="0.35">
      <c r="A2" s="31" t="s">
        <v>56</v>
      </c>
      <c r="B2" s="34" t="s">
        <v>57</v>
      </c>
      <c r="C2" s="34" t="s">
        <v>58</v>
      </c>
    </row>
    <row r="3" spans="1:5" x14ac:dyDescent="0.35">
      <c r="A3" s="20">
        <v>1</v>
      </c>
      <c r="B3" s="7" t="s">
        <v>45</v>
      </c>
      <c r="C3" s="13">
        <f>'Chi phí vật liệu'!F10</f>
        <v>161330000</v>
      </c>
    </row>
    <row r="4" spans="1:5" x14ac:dyDescent="0.35">
      <c r="A4" s="20">
        <v>2</v>
      </c>
      <c r="B4" s="7" t="s">
        <v>59</v>
      </c>
      <c r="C4" s="13">
        <f>'Nhân sự, bao bì'!E9</f>
        <v>106000000</v>
      </c>
    </row>
    <row r="5" spans="1:5" x14ac:dyDescent="0.35">
      <c r="A5" s="20">
        <v>3</v>
      </c>
      <c r="B5" s="7" t="s">
        <v>60</v>
      </c>
      <c r="C5" s="13">
        <f>'Chi Phí mặt bằng'!E5</f>
        <v>45000000</v>
      </c>
    </row>
    <row r="6" spans="1:5" x14ac:dyDescent="0.35">
      <c r="A6" s="20">
        <v>4</v>
      </c>
      <c r="B6" s="7" t="s">
        <v>61</v>
      </c>
      <c r="C6" s="13">
        <f>'Máy móc, thiết bị'!E13</f>
        <v>282920000</v>
      </c>
    </row>
    <row r="7" spans="1:5" x14ac:dyDescent="0.35">
      <c r="A7" s="20">
        <v>5</v>
      </c>
      <c r="B7" s="7" t="s">
        <v>62</v>
      </c>
      <c r="C7" s="13">
        <f>'Nhân sự, bao bì'!E20</f>
        <v>75250000</v>
      </c>
    </row>
    <row r="8" spans="1:5" x14ac:dyDescent="0.35">
      <c r="A8" s="20">
        <v>6</v>
      </c>
      <c r="B8" s="7" t="s">
        <v>46</v>
      </c>
      <c r="C8" s="13">
        <f>'Chi phí quảng cáo'!C5</f>
        <v>3500000</v>
      </c>
    </row>
    <row r="9" spans="1:5" x14ac:dyDescent="0.35">
      <c r="A9" s="20">
        <v>7</v>
      </c>
      <c r="B9" s="7" t="s">
        <v>63</v>
      </c>
      <c r="C9" s="13">
        <v>7000000</v>
      </c>
    </row>
    <row r="10" spans="1:5" x14ac:dyDescent="0.35">
      <c r="A10" s="7"/>
      <c r="B10" s="7" t="s">
        <v>118</v>
      </c>
      <c r="C10" s="13">
        <f>C3+C4+C5+C6+C7+C8+C9</f>
        <v>681000000</v>
      </c>
    </row>
    <row r="12" spans="1:5" x14ac:dyDescent="0.35">
      <c r="B12" s="35" t="s">
        <v>1</v>
      </c>
      <c r="C12" s="35" t="s">
        <v>64</v>
      </c>
      <c r="D12" s="35" t="s">
        <v>65</v>
      </c>
      <c r="E12" s="35" t="s">
        <v>66</v>
      </c>
    </row>
    <row r="13" spans="1:5" x14ac:dyDescent="0.35">
      <c r="B13" s="15">
        <v>1</v>
      </c>
      <c r="C13" s="15" t="s">
        <v>97</v>
      </c>
      <c r="D13" s="15" t="s">
        <v>67</v>
      </c>
      <c r="E13" s="18">
        <v>200000000</v>
      </c>
    </row>
    <row r="14" spans="1:5" x14ac:dyDescent="0.35">
      <c r="B14" s="15">
        <v>2</v>
      </c>
      <c r="C14" s="15" t="s">
        <v>95</v>
      </c>
      <c r="D14" s="15" t="s">
        <v>68</v>
      </c>
      <c r="E14" s="18">
        <v>200000000</v>
      </c>
    </row>
    <row r="15" spans="1:5" x14ac:dyDescent="0.35">
      <c r="B15" s="15">
        <v>3</v>
      </c>
      <c r="C15" s="15" t="s">
        <v>94</v>
      </c>
      <c r="D15" s="15" t="s">
        <v>98</v>
      </c>
      <c r="E15" s="18">
        <v>200000000</v>
      </c>
    </row>
    <row r="16" spans="1:5" x14ac:dyDescent="0.35">
      <c r="B16" s="15">
        <v>4</v>
      </c>
      <c r="C16" s="15" t="s">
        <v>96</v>
      </c>
      <c r="D16" s="15" t="s">
        <v>99</v>
      </c>
      <c r="E16" s="18">
        <v>100000000</v>
      </c>
    </row>
    <row r="17" spans="2:5" x14ac:dyDescent="0.35">
      <c r="B17" s="16"/>
      <c r="D17" s="16"/>
      <c r="E17" s="16"/>
    </row>
    <row r="18" spans="2:5" x14ac:dyDescent="0.35">
      <c r="E18" s="19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F55B-CA00-4817-A8B8-B58C1126D87C}">
  <dimension ref="A1:B6"/>
  <sheetViews>
    <sheetView tabSelected="1" zoomScale="104" zoomScaleNormal="104" workbookViewId="0">
      <selection activeCell="D4" sqref="D4"/>
    </sheetView>
  </sheetViews>
  <sheetFormatPr defaultRowHeight="14.5" x14ac:dyDescent="0.35"/>
  <cols>
    <col min="1" max="1" width="34.6328125" bestFit="1" customWidth="1"/>
    <col min="2" max="2" width="17.7265625" bestFit="1" customWidth="1"/>
  </cols>
  <sheetData>
    <row r="1" spans="1:2" ht="16.5" x14ac:dyDescent="0.35">
      <c r="A1" s="80" t="s">
        <v>100</v>
      </c>
      <c r="B1" s="80"/>
    </row>
    <row r="2" spans="1:2" ht="16.5" x14ac:dyDescent="0.35">
      <c r="A2" s="38" t="s">
        <v>101</v>
      </c>
      <c r="B2" s="41">
        <f>'Giá thành'!C5+'Máy móc, thiết bị'!E13+'Giá thành'!C8+'Giá thành'!C9+'Giá thành'!C10</f>
        <v>414420000</v>
      </c>
    </row>
    <row r="3" spans="1:2" ht="16.5" x14ac:dyDescent="0.35">
      <c r="A3" s="38" t="s">
        <v>102</v>
      </c>
      <c r="B3" s="39">
        <f>'Giá thành'!C4+'Giá thành'!C7</f>
        <v>236580000</v>
      </c>
    </row>
    <row r="4" spans="1:2" ht="16.5" x14ac:dyDescent="0.35">
      <c r="A4" s="38" t="s">
        <v>103</v>
      </c>
      <c r="B4" s="39">
        <f>'Giá thành'!C16*'Giá thành'!C2</f>
        <v>1000000000</v>
      </c>
    </row>
    <row r="5" spans="1:2" ht="16.5" x14ac:dyDescent="0.35">
      <c r="A5" s="38" t="s">
        <v>104</v>
      </c>
      <c r="B5" s="39">
        <f>B4-B3-B2</f>
        <v>349000000</v>
      </c>
    </row>
    <row r="6" spans="1:2" ht="16.5" x14ac:dyDescent="0.35">
      <c r="A6" s="40" t="s">
        <v>105</v>
      </c>
      <c r="B6" s="84">
        <f>B2/(B4-B3)</f>
        <v>0.54284666369757151</v>
      </c>
    </row>
  </sheetData>
  <mergeCells count="1">
    <mergeCell ref="A1:B1"/>
  </mergeCells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A753-DED4-4BE7-A90C-D1C8D8F94CAC}">
  <dimension ref="A1:D4"/>
  <sheetViews>
    <sheetView workbookViewId="0">
      <selection activeCell="D8" sqref="D8"/>
    </sheetView>
  </sheetViews>
  <sheetFormatPr defaultRowHeight="14.5" x14ac:dyDescent="0.35"/>
  <cols>
    <col min="1" max="1" width="15.54296875" customWidth="1"/>
    <col min="2" max="2" width="18" customWidth="1"/>
    <col min="3" max="3" width="19.7265625" customWidth="1"/>
    <col min="4" max="4" width="19.81640625" bestFit="1" customWidth="1"/>
  </cols>
  <sheetData>
    <row r="1" spans="1:4" x14ac:dyDescent="0.35">
      <c r="A1" s="82" t="s">
        <v>127</v>
      </c>
      <c r="B1" s="82"/>
      <c r="C1" s="82"/>
      <c r="D1" s="53"/>
    </row>
    <row r="2" spans="1:4" x14ac:dyDescent="0.35">
      <c r="A2" s="55" t="s">
        <v>121</v>
      </c>
      <c r="B2" s="54" t="s">
        <v>122</v>
      </c>
      <c r="C2" s="56" t="s">
        <v>123</v>
      </c>
      <c r="D2" s="53"/>
    </row>
    <row r="3" spans="1:4" ht="63.5" customHeight="1" x14ac:dyDescent="0.35">
      <c r="A3" s="81" t="s">
        <v>137</v>
      </c>
      <c r="B3" s="81"/>
      <c r="C3" s="81"/>
      <c r="D3" s="53" t="s">
        <v>139</v>
      </c>
    </row>
    <row r="4" spans="1:4" ht="89" customHeight="1" x14ac:dyDescent="0.35">
      <c r="A4" s="81" t="s">
        <v>138</v>
      </c>
      <c r="B4" s="81"/>
      <c r="C4" s="81"/>
      <c r="D4" s="53" t="s">
        <v>140</v>
      </c>
    </row>
  </sheetData>
  <mergeCells count="3">
    <mergeCell ref="A4:C4"/>
    <mergeCell ref="A1:C1"/>
    <mergeCell ref="A3:C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9528-396A-44D9-B3A4-1B1E71F167C2}">
  <dimension ref="B2:G7"/>
  <sheetViews>
    <sheetView zoomScale="196" zoomScaleNormal="196" workbookViewId="0">
      <selection activeCell="F1" sqref="F1"/>
    </sheetView>
  </sheetViews>
  <sheetFormatPr defaultRowHeight="14.5" x14ac:dyDescent="0.35"/>
  <cols>
    <col min="2" max="2" width="10" bestFit="1" customWidth="1"/>
  </cols>
  <sheetData>
    <row r="2" spans="2:7" x14ac:dyDescent="0.35">
      <c r="D2" s="83" t="s">
        <v>136</v>
      </c>
      <c r="E2" s="83"/>
    </row>
    <row r="4" spans="2:7" x14ac:dyDescent="0.35">
      <c r="B4" s="49"/>
      <c r="C4" s="50" t="s">
        <v>130</v>
      </c>
      <c r="D4" s="50" t="s">
        <v>131</v>
      </c>
      <c r="E4" s="50" t="s">
        <v>132</v>
      </c>
      <c r="F4" s="50" t="s">
        <v>133</v>
      </c>
      <c r="G4" s="50" t="s">
        <v>134</v>
      </c>
    </row>
    <row r="5" spans="2:7" x14ac:dyDescent="0.35">
      <c r="B5" s="50" t="s">
        <v>128</v>
      </c>
      <c r="C5" s="49">
        <v>9.7200000000000006</v>
      </c>
      <c r="D5" s="49">
        <f t="shared" ref="D5:G6" si="0">C5*2</f>
        <v>19.440000000000001</v>
      </c>
      <c r="E5" s="49">
        <f t="shared" si="0"/>
        <v>38.880000000000003</v>
      </c>
      <c r="F5" s="49">
        <f t="shared" si="0"/>
        <v>77.760000000000005</v>
      </c>
      <c r="G5" s="49">
        <f t="shared" si="0"/>
        <v>155.52000000000001</v>
      </c>
    </row>
    <row r="6" spans="2:7" x14ac:dyDescent="0.35">
      <c r="B6" s="50" t="s">
        <v>129</v>
      </c>
      <c r="C6" s="49">
        <v>6.46</v>
      </c>
      <c r="D6" s="49">
        <f t="shared" si="0"/>
        <v>12.92</v>
      </c>
      <c r="E6" s="49">
        <f t="shared" si="0"/>
        <v>25.84</v>
      </c>
      <c r="F6" s="49">
        <f t="shared" si="0"/>
        <v>51.68</v>
      </c>
      <c r="G6" s="49">
        <f t="shared" si="0"/>
        <v>103.36</v>
      </c>
    </row>
    <row r="7" spans="2:7" x14ac:dyDescent="0.35">
      <c r="B7" s="51"/>
      <c r="C7" s="51">
        <f>C5-C6</f>
        <v>3.2600000000000007</v>
      </c>
      <c r="D7" s="51">
        <f t="shared" ref="D7:G7" si="1">D5-D6</f>
        <v>6.5200000000000014</v>
      </c>
      <c r="E7" s="51">
        <f t="shared" si="1"/>
        <v>13.040000000000003</v>
      </c>
      <c r="F7" s="51">
        <f t="shared" si="1"/>
        <v>26.080000000000005</v>
      </c>
      <c r="G7" s="51">
        <f t="shared" si="1"/>
        <v>52.160000000000011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Máy móc, thiết bị</vt:lpstr>
      <vt:lpstr>Chi Phí mặt bằng</vt:lpstr>
      <vt:lpstr>Chi phí vật liệu</vt:lpstr>
      <vt:lpstr>Nhân sự, bao bì</vt:lpstr>
      <vt:lpstr>Chi phí quảng cáo</vt:lpstr>
      <vt:lpstr>Giá thành</vt:lpstr>
      <vt:lpstr>Chi phí vốn</vt:lpstr>
      <vt:lpstr>Hoà vốn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 Hân Nguyễn Ngọc</dc:creator>
  <cp:lastModifiedBy>Khang Anh</cp:lastModifiedBy>
  <dcterms:created xsi:type="dcterms:W3CDTF">2025-03-31T05:51:27Z</dcterms:created>
  <dcterms:modified xsi:type="dcterms:W3CDTF">2025-10-25T07:44:57Z</dcterms:modified>
</cp:coreProperties>
</file>